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ssumptions" sheetId="1" state="visible" r:id="rId1"/>
    <sheet xmlns:r="http://schemas.openxmlformats.org/officeDocument/2006/relationships" name="2. Unit Economics" sheetId="2" state="visible" r:id="rId2"/>
    <sheet xmlns:r="http://schemas.openxmlformats.org/officeDocument/2006/relationships" name="3. P&amp;L &amp; R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2" fontId="2" fillId="3" borderId="1" pivotButton="0" quotePrefix="0" xfId="0"/>
    <xf numFmtId="10" fontId="2" fillId="3" borderId="1" pivotButton="0" quotePrefix="0" xfId="0"/>
    <xf numFmtId="0" fontId="1" fillId="0" borderId="1" pivotButton="0" quotePrefix="0" xfId="0"/>
    <xf numFmtId="2" fontId="3" fillId="0" borderId="1" pivotButton="0" quotePrefix="0" xfId="0"/>
    <xf numFmtId="164" fontId="2" fillId="3" borderId="1" pivotButton="0" quotePrefix="0" xfId="0"/>
    <xf numFmtId="164" fontId="3" fillId="0" borderId="1" pivotButton="0" quotePrefix="0" xfId="0"/>
    <xf numFmtId="10" fontId="3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3" borderId="0" pivotButton="0" quotePrefix="0" xfId="0"/>
    <xf numFmtId="2" fontId="3" fillId="0" borderId="0" pivotButton="0" quotePrefix="0" xfId="0"/>
    <xf numFmtId="10" fontId="3" fillId="0" borderId="0" pivotButton="0" quotePrefix="0" xfId="0"/>
    <xf numFmtId="164" fontId="0" fillId="0" borderId="1" pivotButton="0" quotePrefix="0" xfId="0"/>
    <xf numFmtId="164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50" customWidth="1" min="6" max="6"/>
  </cols>
  <sheetData>
    <row r="1">
      <c r="A1" s="1" t="inlineStr"/>
      <c r="B1" s="1" t="inlineStr">
        <is>
          <t>Optimistic</t>
        </is>
      </c>
      <c r="C1" s="1" t="inlineStr">
        <is>
          <t>Base</t>
        </is>
      </c>
      <c r="D1" s="1" t="inlineStr">
        <is>
          <t>Pessimistic</t>
        </is>
      </c>
      <c r="E1" s="1" t="inlineStr">
        <is>
          <t>Unit</t>
        </is>
      </c>
      <c r="F1" s="1" t="inlineStr">
        <is>
          <t>Can cu / Benchmark</t>
        </is>
      </c>
    </row>
    <row r="2">
      <c r="A2" s="2" t="inlineStr">
        <is>
          <t>1. PRODUCT &amp; PRICING</t>
        </is>
      </c>
      <c r="B2" s="3" t="n"/>
      <c r="C2" s="3" t="n"/>
      <c r="D2" s="3" t="n"/>
      <c r="E2" s="3" t="n"/>
      <c r="F2" s="3" t="n"/>
    </row>
    <row r="3">
      <c r="A3" s="4" t="inlineStr">
        <is>
          <t>ARPU (VND/khach/thang)</t>
        </is>
      </c>
      <c r="B3" s="5" t="n">
        <v>100</v>
      </c>
      <c r="C3" s="5" t="n">
        <v>80</v>
      </c>
      <c r="D3" s="5" t="n">
        <v>50</v>
      </c>
      <c r="E3" s="4" t="inlineStr">
        <is>
          <t>Trieu VND</t>
        </is>
      </c>
      <c r="F3" s="4" t="inlineStr">
        <is>
          <t>Salesforce Einstein Enterprise VN 50-150M/thang; Base = 60M base fee + 20M overage</t>
        </is>
      </c>
    </row>
    <row r="4">
      <c r="A4" s="4" t="inlineStr">
        <is>
          <t>Adoption Rate</t>
        </is>
      </c>
      <c r="B4" s="6" t="n">
        <v>0.002</v>
      </c>
      <c r="C4" s="6" t="n">
        <v>0.0015</v>
      </c>
      <c r="D4" s="6" t="n">
        <v>0.0008</v>
      </c>
      <c r="E4" s="4" t="inlineStr">
        <is>
          <t>%/thang</t>
        </is>
      </c>
      <c r="F4" s="4" t="inlineStr">
        <is>
          <t>B2B SaaS Enterprise VN 0.08-0.2%/thang (long sales cycle, few targets)</t>
        </is>
      </c>
    </row>
    <row r="5">
      <c r="A5" s="4" t="inlineStr">
        <is>
          <t>TAM (tong khach tiem nang)</t>
        </is>
      </c>
      <c r="B5" s="5" t="n">
        <v>650</v>
      </c>
      <c r="C5" s="5" t="n">
        <v>650</v>
      </c>
      <c r="D5" s="5" t="n">
        <v>650</v>
      </c>
      <c r="E5" s="4" t="inlineStr">
        <is>
          <t>cong ty</t>
        </is>
      </c>
      <c r="F5" s="4" t="inlineStr">
        <is>
          <t>650 Enterprise companies VN (xem Phase 0 - 00 Mo hinh Kinh doanh)</t>
        </is>
      </c>
    </row>
    <row r="6">
      <c r="A6" s="4" t="inlineStr">
        <is>
          <t>Customers Month 0</t>
        </is>
      </c>
      <c r="B6" s="5" t="n">
        <v>2</v>
      </c>
      <c r="C6" s="5" t="n">
        <v>1</v>
      </c>
      <c r="D6" s="5" t="n">
        <v>1</v>
      </c>
      <c r="E6" s="4" t="inlineStr">
        <is>
          <t>khach</t>
        </is>
      </c>
      <c r="F6" s="4" t="inlineStr">
        <is>
          <t>Seed stage: 1-2 pilot customers da ky truoc khi mo ban rong</t>
        </is>
      </c>
    </row>
    <row r="8">
      <c r="A8" s="2" t="inlineStr">
        <is>
          <t>2. COGS / KHACH / THANG</t>
        </is>
      </c>
      <c r="B8" s="3" t="n"/>
      <c r="C8" s="3" t="n"/>
      <c r="D8" s="3" t="n"/>
      <c r="E8" s="3" t="n"/>
      <c r="F8" s="3" t="n"/>
    </row>
    <row r="9">
      <c r="A9" s="4" t="inlineStr">
        <is>
          <t>Model API Cost</t>
        </is>
      </c>
      <c r="B9" s="5" t="n">
        <v>3</v>
      </c>
      <c r="C9" s="5" t="n">
        <v>4</v>
      </c>
      <c r="D9" s="5" t="n">
        <v>5.5</v>
      </c>
      <c r="E9" s="4" t="inlineStr">
        <is>
          <t>Trieu VND</t>
        </is>
      </c>
      <c r="F9" s="4" t="inlineStr">
        <is>
          <t>GPT-4 + Embeddings: ~500 calls/thang/khach x 8.000 VND/call</t>
        </is>
      </c>
    </row>
    <row r="10">
      <c r="A10" s="4" t="inlineStr">
        <is>
          <t>- Data Labeling &amp; QA du lieu</t>
        </is>
      </c>
      <c r="B10" s="5" t="n">
        <v>1</v>
      </c>
      <c r="C10" s="5" t="n">
        <v>1.3</v>
      </c>
      <c r="D10" s="5" t="n">
        <v>2</v>
      </c>
      <c r="E10" s="4" t="inlineStr">
        <is>
          <t>Trieu VND</t>
        </is>
      </c>
      <c r="F10" s="4" t="inlineStr">
        <is>
          <t>Sales training data labeling + feedback loop hang thang</t>
        </is>
      </c>
    </row>
    <row r="11">
      <c r="A11" s="4" t="inlineStr">
        <is>
          <t>- Model Retraining (~20%/nam)</t>
        </is>
      </c>
      <c r="B11" s="5" t="n">
        <v>0.8</v>
      </c>
      <c r="C11" s="5" t="n">
        <v>1.2</v>
      </c>
      <c r="D11" s="5" t="n">
        <v>2</v>
      </c>
      <c r="E11" s="4" t="inlineStr">
        <is>
          <t>Trieu VND</t>
        </is>
      </c>
      <c r="F11" s="4" t="inlineStr">
        <is>
          <t>Fine-tuning hang thang; 20%/nam build cost recur per customer cohort</t>
        </is>
      </c>
    </row>
    <row r="12">
      <c r="A12" s="4" t="inlineStr">
        <is>
          <t>- Human-in-the-loop QA</t>
        </is>
      </c>
      <c r="B12" s="5" t="n">
        <v>0.6</v>
      </c>
      <c r="C12" s="5" t="n">
        <v>1</v>
      </c>
      <c r="D12" s="5" t="n">
        <v>1.5</v>
      </c>
      <c r="E12" s="4" t="inlineStr">
        <is>
          <t>Trieu VND</t>
        </is>
      </c>
      <c r="F12" s="4" t="inlineStr">
        <is>
          <t>Sales trainer review AI coaching output truoc khi gui khach</t>
        </is>
      </c>
    </row>
    <row r="13">
      <c r="A13" s="4" t="inlineStr">
        <is>
          <t>- Compliance &amp; Security</t>
        </is>
      </c>
      <c r="B13" s="5" t="n">
        <v>0.4</v>
      </c>
      <c r="C13" s="5" t="n">
        <v>0.5</v>
      </c>
      <c r="D13" s="5" t="n">
        <v>1</v>
      </c>
      <c r="E13" s="4" t="inlineStr">
        <is>
          <t>Trieu VND</t>
        </is>
      </c>
      <c r="F13" s="4" t="inlineStr">
        <is>
          <t>PDPA audit, SOC 2, data residency VN, encryption</t>
        </is>
      </c>
    </row>
    <row r="14">
      <c r="A14" s="4" t="inlineStr">
        <is>
          <t>Infrastructure</t>
        </is>
      </c>
      <c r="B14" s="5" t="n">
        <v>1.5</v>
      </c>
      <c r="C14" s="5" t="n">
        <v>2</v>
      </c>
      <c r="D14" s="5" t="n">
        <v>3</v>
      </c>
      <c r="E14" s="4" t="inlineStr">
        <is>
          <t>Trieu VND</t>
        </is>
      </c>
      <c r="F14" s="4" t="inlineStr">
        <is>
          <t>Multi-region deploy, VectorDB, monitoring, 99.9% SLA, phan bo/khach</t>
        </is>
      </c>
    </row>
    <row r="15">
      <c r="A15" s="7" t="inlineStr">
        <is>
          <t>Total COGS / khach / thang</t>
        </is>
      </c>
      <c r="B15" s="8">
        <f>SUM(B9:B14)</f>
        <v/>
      </c>
      <c r="C15" s="8">
        <f>SUM(C9:C14)</f>
        <v/>
      </c>
      <c r="D15" s="8">
        <f>SUM(D9:D14)</f>
        <v/>
      </c>
      <c r="E15" s="4" t="inlineStr">
        <is>
          <t>M</t>
        </is>
      </c>
    </row>
    <row r="17">
      <c r="A17" s="2" t="inlineStr">
        <is>
          <t>3. CUSTOMER BEHAVIOR</t>
        </is>
      </c>
      <c r="B17" s="3" t="n"/>
      <c r="C17" s="3" t="n"/>
      <c r="D17" s="3" t="n"/>
      <c r="E17" s="3" t="n"/>
      <c r="F17" s="3" t="n"/>
    </row>
    <row r="18">
      <c r="A18" s="4" t="inlineStr">
        <is>
          <t>Monthly Churn Rate</t>
        </is>
      </c>
      <c r="B18" s="6" t="n">
        <v>0.01</v>
      </c>
      <c r="C18" s="6" t="n">
        <v>0.015</v>
      </c>
      <c r="D18" s="6" t="n">
        <v>0.0225</v>
      </c>
      <c r="E18" s="4" t="inlineStr">
        <is>
          <t>%/thang</t>
        </is>
      </c>
      <c r="F18" s="4" t="inlineStr">
        <is>
          <t>Enterprise SaaS 1-2%/thang (sticky, long contract). Pess = Base x 1.5</t>
        </is>
      </c>
    </row>
    <row r="20">
      <c r="A20" s="2" t="inlineStr">
        <is>
          <t>4. SALES &amp; MARKETING</t>
        </is>
      </c>
      <c r="B20" s="3" t="n"/>
      <c r="C20" s="3" t="n"/>
      <c r="D20" s="3" t="n"/>
      <c r="E20" s="3" t="n"/>
      <c r="F20" s="3" t="n"/>
    </row>
    <row r="21">
      <c r="A21" s="4" t="inlineStr">
        <is>
          <t>CAC (Customer Acquisition Cost)</t>
        </is>
      </c>
      <c r="B21" s="9" t="n">
        <v>120</v>
      </c>
      <c r="C21" s="9" t="n">
        <v>150</v>
      </c>
      <c r="D21" s="9" t="n">
        <v>225</v>
      </c>
      <c r="E21" s="4" t="inlineStr">
        <is>
          <t>Trieu VND</t>
        </is>
      </c>
      <c r="F21" s="4" t="inlineStr">
        <is>
          <t>Enterprise: 2 AE x 6-9 thang sales cycle + sales ops. Pess = Base x 1.5</t>
        </is>
      </c>
    </row>
    <row r="23">
      <c r="A23" s="2" t="inlineStr">
        <is>
          <t>5. FIXED COSTS / THANG</t>
        </is>
      </c>
      <c r="B23" s="3" t="n"/>
      <c r="C23" s="3" t="n"/>
      <c r="D23" s="3" t="n"/>
      <c r="E23" s="3" t="n"/>
      <c r="F23" s="3" t="n"/>
    </row>
    <row r="24">
      <c r="A24" s="4" t="inlineStr">
        <is>
          <t>Salaries</t>
        </is>
      </c>
      <c r="B24" s="9" t="n">
        <v>250</v>
      </c>
      <c r="C24" s="9" t="n">
        <v>300</v>
      </c>
      <c r="D24" s="9" t="n">
        <v>170</v>
      </c>
      <c r="E24" s="4" t="inlineStr">
        <is>
          <t>Trieu VND</t>
        </is>
      </c>
      <c r="F24" s="4" t="inlineStr">
        <is>
          <t>Base = Founder 40M + 2 AE 70M + Sales Ops 25M + 2 Eng 90M + PM 30M + CS 25M ~ 280-300M. Pess = crisis mode: chi giu Founder 40M + 1 AE 35M + 1 Eng 45M + PM 30M = 150-170M (cat Sales Ops, 1 AE, 1 Eng, CS - Plan B khi thi truong xau)</t>
        </is>
      </c>
    </row>
    <row r="25">
      <c r="A25" s="4" t="inlineStr">
        <is>
          <t>Office &amp; Tools</t>
        </is>
      </c>
      <c r="B25" s="9" t="n">
        <v>50</v>
      </c>
      <c r="C25" s="9" t="n">
        <v>70</v>
      </c>
      <c r="D25" s="9" t="n">
        <v>50</v>
      </c>
      <c r="E25" s="4" t="inlineStr">
        <is>
          <t>Trieu VND</t>
        </is>
      </c>
      <c r="F25" s="4" t="inlineStr">
        <is>
          <t>Van phong + SaaS tool stack. Pess chuyen remote-only de tiet kiem</t>
        </is>
      </c>
    </row>
    <row r="26">
      <c r="A26" s="4" t="inlineStr">
        <is>
          <t>Marketing Budget (brand/content)</t>
        </is>
      </c>
      <c r="B26" s="9" t="n">
        <v>40</v>
      </c>
      <c r="C26" s="9" t="n">
        <v>60</v>
      </c>
      <c r="D26" s="9" t="n">
        <v>30</v>
      </c>
      <c r="E26" s="4" t="inlineStr">
        <is>
          <t>Trieu VND</t>
        </is>
      </c>
      <c r="F26" s="4" t="inlineStr">
        <is>
          <t>Content, event, ABM - KHONG trung voi chi phi CAC (muc 4). Pess cat 50% (30M) nhu mot phan Plan B cat giam chi phi khi thi truong xau</t>
        </is>
      </c>
    </row>
    <row r="27">
      <c r="A27" s="7" t="inlineStr">
        <is>
          <t>Total Fixed Costs / thang</t>
        </is>
      </c>
      <c r="B27" s="10">
        <f>SUM(B24:B26)</f>
        <v/>
      </c>
      <c r="C27" s="10">
        <f>SUM(C24:C26)</f>
        <v/>
      </c>
      <c r="D27" s="10">
        <f>SUM(D24:D26)</f>
        <v/>
      </c>
      <c r="E27" s="4" t="inlineStr">
        <is>
          <t>M</t>
        </is>
      </c>
    </row>
    <row r="29">
      <c r="A29" s="2" t="inlineStr">
        <is>
          <t>6. INVESTMENT &amp; CASH</t>
        </is>
      </c>
      <c r="B29" s="3" t="n"/>
      <c r="C29" s="3" t="n"/>
      <c r="D29" s="3" t="n"/>
      <c r="E29" s="3" t="n"/>
      <c r="F29" s="3" t="n"/>
    </row>
    <row r="30">
      <c r="A30" s="4" t="inlineStr">
        <is>
          <t>Initial Investment (Month 0)</t>
        </is>
      </c>
      <c r="B30" s="9" t="n">
        <v>1200</v>
      </c>
      <c r="C30" s="9" t="n">
        <v>1500</v>
      </c>
      <c r="D30" s="9" t="n">
        <v>1500</v>
      </c>
      <c r="E30" s="4" t="inlineStr">
        <is>
          <t>Trieu VND</t>
        </is>
      </c>
      <c r="F30" s="4" t="inlineStr">
        <is>
          <t>Engineering 800M + Infra 300M + Marketing 400M (MVP build, 1 lan)</t>
        </is>
      </c>
    </row>
    <row r="31">
      <c r="A31" s="4" t="inlineStr">
        <is>
          <t>Initial Cash (runway buffer)</t>
        </is>
      </c>
      <c r="B31" s="9" t="n">
        <v>4000</v>
      </c>
      <c r="C31" s="9" t="n">
        <v>5000</v>
      </c>
      <c r="D31" s="9" t="n">
        <v>5000</v>
      </c>
      <c r="E31" s="4" t="inlineStr">
        <is>
          <t>Trieu VND</t>
        </is>
      </c>
      <c r="F31" s="4" t="inlineStr">
        <is>
          <t>Series Seed VN 2024 (4-7B typical). Pess giu nguyen 5.000M nhu Base: day la so tien da huy dong tai Month 0, khong phu thuoc kich ban tuong lai xay ra</t>
        </is>
      </c>
    </row>
    <row r="32">
      <c r="A32" s="4" t="inlineStr">
        <is>
          <t>Discount Rate (nam)</t>
        </is>
      </c>
      <c r="B32" s="6" t="n">
        <v>0.15</v>
      </c>
      <c r="C32" s="6" t="n">
        <v>0.25</v>
      </c>
      <c r="D32" s="6" t="n">
        <v>0.4</v>
      </c>
      <c r="E32" s="4" t="inlineStr">
        <is>
          <t>%/nam</t>
        </is>
      </c>
      <c r="F32" s="4" t="inlineStr">
        <is>
          <t>SaaS seed-stage valuation discount rate; Pess cao hon do rui ro von cao hon</t>
        </is>
      </c>
    </row>
    <row r="34">
      <c r="A34" s="2" t="inlineStr">
        <is>
          <t>RANG BUOC KIEM TRA (TU DONG)</t>
        </is>
      </c>
      <c r="B34" s="3" t="n"/>
      <c r="C34" s="3" t="n"/>
      <c r="D34" s="3" t="n"/>
      <c r="E34" s="3" t="n"/>
      <c r="F34" s="3" t="n"/>
    </row>
    <row r="35">
      <c r="A35" s="4" t="inlineStr">
        <is>
          <t>Hidden Costs / API Cost %</t>
        </is>
      </c>
      <c r="B35" s="11">
        <f>SUM(B10:B13)/B9</f>
        <v/>
      </c>
      <c r="C35" s="11">
        <f>SUM(C10:C13)/C9</f>
        <v/>
      </c>
      <c r="D35" s="11">
        <f>SUM(D10:D13)/D9</f>
        <v/>
      </c>
      <c r="E35" s="4" t="inlineStr">
        <is>
          <t>phai &gt;= 30%</t>
        </is>
      </c>
    </row>
    <row r="36">
      <c r="A36" s="4" t="inlineStr">
        <is>
          <t>Pess Churn / Base Churn</t>
        </is>
      </c>
      <c r="D36" s="8">
        <f>D18/C18</f>
        <v/>
      </c>
      <c r="E36" s="4" t="inlineStr">
        <is>
          <t>phai &gt;= 1.5x</t>
        </is>
      </c>
    </row>
    <row r="37">
      <c r="A37" s="4" t="inlineStr">
        <is>
          <t>Pess CAC / Base CAC</t>
        </is>
      </c>
      <c r="D37" s="8">
        <f>D21/C21</f>
        <v/>
      </c>
      <c r="E37" s="4" t="inlineStr">
        <is>
          <t>phai &gt;= 1.5x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Optimistic</t>
        </is>
      </c>
      <c r="C1" s="1" t="inlineStr">
        <is>
          <t>Base</t>
        </is>
      </c>
      <c r="D1" s="1" t="inlineStr">
        <is>
          <t>Pessimistic</t>
        </is>
      </c>
    </row>
    <row r="2">
      <c r="A2" s="7" t="inlineStr">
        <is>
          <t>ARPU (Trieu VND/khach/thang)</t>
        </is>
      </c>
      <c r="B2" s="10">
        <f>'1. Assumptions'!B3</f>
        <v/>
      </c>
      <c r="C2" s="10">
        <f>'1. Assumptions'!C3</f>
        <v/>
      </c>
      <c r="D2" s="10">
        <f>'1. Assumptions'!D3</f>
        <v/>
      </c>
    </row>
    <row r="3">
      <c r="A3" s="7" t="inlineStr">
        <is>
          <t>Total COGS (Trieu VND/khach/thang)</t>
        </is>
      </c>
      <c r="B3" s="10">
        <f>'1. Assumptions'!B15</f>
        <v/>
      </c>
      <c r="C3" s="10">
        <f>'1. Assumptions'!C15</f>
        <v/>
      </c>
      <c r="D3" s="10">
        <f>'1. Assumptions'!D15</f>
        <v/>
      </c>
    </row>
    <row r="4">
      <c r="A4" s="7" t="inlineStr">
        <is>
          <t>Gross Profit (Trieu VND/khach/thang)</t>
        </is>
      </c>
      <c r="B4" s="10">
        <f>B2-B3</f>
        <v/>
      </c>
      <c r="C4" s="10">
        <f>C2-C3</f>
        <v/>
      </c>
      <c r="D4" s="10">
        <f>D2-D3</f>
        <v/>
      </c>
    </row>
    <row r="5">
      <c r="A5" s="7" t="inlineStr">
        <is>
          <t>Gross Margin %</t>
        </is>
      </c>
      <c r="B5" s="11">
        <f>B4/B2</f>
        <v/>
      </c>
      <c r="C5" s="11">
        <f>C4/C2</f>
        <v/>
      </c>
      <c r="D5" s="11">
        <f>D4/D2</f>
        <v/>
      </c>
    </row>
    <row r="6">
      <c r="A6" s="7" t="inlineStr">
        <is>
          <t>Monthly Churn Rate</t>
        </is>
      </c>
      <c r="B6" s="11">
        <f>'1. Assumptions'!B18</f>
        <v/>
      </c>
      <c r="C6" s="11">
        <f>'1. Assumptions'!C18</f>
        <v/>
      </c>
      <c r="D6" s="11">
        <f>'1. Assumptions'!D18</f>
        <v/>
      </c>
    </row>
    <row r="7">
      <c r="A7" s="7" t="inlineStr">
        <is>
          <t>Avg Customer Lifetime (thang)</t>
        </is>
      </c>
      <c r="B7" s="8">
        <f>1/B6</f>
        <v/>
      </c>
      <c r="C7" s="8">
        <f>1/C6</f>
        <v/>
      </c>
      <c r="D7" s="8">
        <f>1/D6</f>
        <v/>
      </c>
    </row>
    <row r="8">
      <c r="A8" s="7" t="inlineStr">
        <is>
          <t>LTV (Trieu VND/khach)</t>
        </is>
      </c>
      <c r="B8" s="10">
        <f>B4*B7</f>
        <v/>
      </c>
      <c r="C8" s="10">
        <f>C4*C7</f>
        <v/>
      </c>
      <c r="D8" s="10">
        <f>D4*D7</f>
        <v/>
      </c>
    </row>
    <row r="9">
      <c r="A9" s="7" t="inlineStr">
        <is>
          <t>CAC (Trieu VND/khach)</t>
        </is>
      </c>
      <c r="B9" s="10">
        <f>'1. Assumptions'!B21</f>
        <v/>
      </c>
      <c r="C9" s="10">
        <f>'1. Assumptions'!C21</f>
        <v/>
      </c>
      <c r="D9" s="10">
        <f>'1. Assumptions'!D21</f>
        <v/>
      </c>
    </row>
    <row r="10">
      <c r="A10" s="7" t="inlineStr">
        <is>
          <t>LTV / CAC Ratio</t>
        </is>
      </c>
      <c r="B10" s="8">
        <f>B8/B9</f>
        <v/>
      </c>
      <c r="C10" s="8">
        <f>C8/C9</f>
        <v/>
      </c>
      <c r="D10" s="8">
        <f>D8/D9</f>
        <v/>
      </c>
    </row>
    <row r="11">
      <c r="A11" s="7" t="inlineStr">
        <is>
          <t>CAC Payback (thang)</t>
        </is>
      </c>
      <c r="B11" s="8">
        <f>B9/B4</f>
        <v/>
      </c>
      <c r="C11" s="8">
        <f>C9/C4</f>
        <v/>
      </c>
      <c r="D11" s="8">
        <f>D9/D4</f>
        <v/>
      </c>
    </row>
    <row r="12">
      <c r="A12" s="7" t="inlineStr">
        <is>
          <t>Status</t>
        </is>
      </c>
      <c r="B12" s="12">
        <f>IF(AND(B10&gt;3,B11&lt;12,B5&gt;=0.5),"HEALTHY","UNHEALTHY")</f>
        <v/>
      </c>
      <c r="C12" s="12">
        <f>IF(AND(C10&gt;3,C11&lt;12,C5&gt;=0.5),"HEALTHY","UNHEALTHY")</f>
        <v/>
      </c>
      <c r="D12" s="12">
        <f>IF(AND(D10&gt;3,D11&lt;12,D5&gt;=0.5),"HEALTHY","UNHEALTHY")</f>
        <v/>
      </c>
    </row>
  </sheetData>
  <conditionalFormatting sqref="B12">
    <cfRule type="cellIs" priority="1" operator="equal" dxfId="0">
      <formula>"HEALTHY"</formula>
    </cfRule>
    <cfRule type="cellIs" priority="2" operator="equal" dxfId="1">
      <formula>"UNHEALTHY"</formula>
    </cfRule>
  </conditionalFormatting>
  <conditionalFormatting sqref="C12">
    <cfRule type="cellIs" priority="3" operator="equal" dxfId="0">
      <formula>"HEALTHY"</formula>
    </cfRule>
    <cfRule type="cellIs" priority="4" operator="equal" dxfId="1">
      <formula>"UNHEALTHY"</formula>
    </cfRule>
  </conditionalFormatting>
  <conditionalFormatting sqref="D12">
    <cfRule type="cellIs" priority="5" operator="equal" dxfId="0">
      <formula>"HEALTHY"</formula>
    </cfRule>
    <cfRule type="cellIs" priority="6" operator="equal" dxfId="1">
      <formula>"UNHEALTHY"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3" t="inlineStr">
        <is>
          <t>Scenario:</t>
        </is>
      </c>
      <c r="B1" s="14" t="inlineStr">
        <is>
          <t>Base</t>
        </is>
      </c>
    </row>
    <row r="3">
      <c r="A3" s="2" t="inlineStr">
        <is>
          <t>Active Scenario Parameters:</t>
        </is>
      </c>
    </row>
    <row r="4">
      <c r="A4" t="inlineStr">
        <is>
          <t>New Customers / thang</t>
        </is>
      </c>
      <c r="B4" s="15">
        <f>INDEX('1. Assumptions'!$B$5:$D$5,MATCH($B$1,'1. Assumptions'!$B$1:$D$1,0))*INDEX('1. Assumptions'!$B$4:$D$4,MATCH($B$1,'1. Assumptions'!$B$1:$D$1,0))</f>
        <v/>
      </c>
    </row>
    <row r="5">
      <c r="A5" t="inlineStr">
        <is>
          <t>ARPU (M/thang)</t>
        </is>
      </c>
      <c r="B5" s="15">
        <f>INDEX('1. Assumptions'!$B$3:$D$3,MATCH($B$1,'1. Assumptions'!$B$1:$D$1,0))</f>
        <v/>
      </c>
    </row>
    <row r="6">
      <c r="A6" t="inlineStr">
        <is>
          <t>COGS (M/khach/thang)</t>
        </is>
      </c>
      <c r="B6" s="15">
        <f>INDEX('1. Assumptions'!$B$15:$D$15,MATCH($B$1,'1. Assumptions'!$B$1:$D$1,0))</f>
        <v/>
      </c>
    </row>
    <row r="7">
      <c r="A7" t="inlineStr">
        <is>
          <t>Churn Rate</t>
        </is>
      </c>
      <c r="B7" s="15">
        <f>INDEX('1. Assumptions'!$B$18:$D$18,MATCH($B$1,'1. Assumptions'!$B$1:$D$1,0))</f>
        <v/>
      </c>
    </row>
    <row r="8">
      <c r="A8" t="inlineStr">
        <is>
          <t>CAC (M/khach)</t>
        </is>
      </c>
      <c r="B8" s="15">
        <f>INDEX('1. Assumptions'!$B$21:$D$21,MATCH($B$1,'1. Assumptions'!$B$1:$D$1,0))</f>
        <v/>
      </c>
    </row>
    <row r="9">
      <c r="A9" t="inlineStr">
        <is>
          <t>Fixed Cost (M/thang)</t>
        </is>
      </c>
      <c r="B9" s="15">
        <f>INDEX('1. Assumptions'!$B$27:$D$27,MATCH($B$1,'1. Assumptions'!$B$1:$D$1,0))</f>
        <v/>
      </c>
    </row>
    <row r="10">
      <c r="A10" t="inlineStr">
        <is>
          <t>Initial Investment (M)</t>
        </is>
      </c>
      <c r="B10" s="15">
        <f>INDEX('1. Assumptions'!$B$30:$D$30,MATCH($B$1,'1. Assumptions'!$B$1:$D$1,0))</f>
        <v/>
      </c>
    </row>
    <row r="11">
      <c r="A11" t="inlineStr">
        <is>
          <t>Initial Cash (M)</t>
        </is>
      </c>
      <c r="B11" s="15">
        <f>INDEX('1. Assumptions'!$B$31:$D$31,MATCH($B$1,'1. Assumptions'!$B$1:$D$1,0))</f>
        <v/>
      </c>
    </row>
    <row r="12">
      <c r="A12" t="inlineStr">
        <is>
          <t>Discount Rate (nam)</t>
        </is>
      </c>
      <c r="B12" s="15">
        <f>INDEX('1. Assumptions'!$B$32:$D$32,MATCH($B$1,'1. Assumptions'!$B$1:$D$1,0))</f>
        <v/>
      </c>
    </row>
    <row r="13">
      <c r="A13" t="inlineStr">
        <is>
          <t>Monthly Discount Rate</t>
        </is>
      </c>
      <c r="B13" s="16">
        <f>(1+B12)^(1/12)-1</f>
        <v/>
      </c>
    </row>
    <row r="15">
      <c r="A15" s="2" t="inlineStr">
        <is>
          <t>36-MONTH PROJECTION</t>
        </is>
      </c>
    </row>
    <row r="16">
      <c r="A16" s="1" t="inlineStr">
        <is>
          <t>Month</t>
        </is>
      </c>
      <c r="B16" s="1" t="inlineStr">
        <is>
          <t>Cust Start</t>
        </is>
      </c>
      <c r="C16" s="1" t="inlineStr">
        <is>
          <t>New</t>
        </is>
      </c>
      <c r="D16" s="1" t="inlineStr">
        <is>
          <t>Churned</t>
        </is>
      </c>
      <c r="E16" s="1" t="inlineStr">
        <is>
          <t>Cust End</t>
        </is>
      </c>
      <c r="F16" s="1" t="inlineStr">
        <is>
          <t>Revenue</t>
        </is>
      </c>
      <c r="G16" s="1" t="inlineStr">
        <is>
          <t>COGS</t>
        </is>
      </c>
      <c r="H16" s="1" t="inlineStr">
        <is>
          <t>Gross Profit</t>
        </is>
      </c>
      <c r="I16" s="1" t="inlineStr">
        <is>
          <t>S&amp;M Cost</t>
        </is>
      </c>
      <c r="J16" s="1" t="inlineStr">
        <is>
          <t>Fixed Cost</t>
        </is>
      </c>
      <c r="K16" s="1" t="inlineStr">
        <is>
          <t>Net CF</t>
        </is>
      </c>
      <c r="L16" s="1" t="inlineStr">
        <is>
          <t>Cash Position</t>
        </is>
      </c>
    </row>
    <row r="17">
      <c r="A17" s="4" t="n">
        <v>0</v>
      </c>
      <c r="B17" s="4" t="n">
        <v>0</v>
      </c>
      <c r="C17" s="4" t="n">
        <v>0</v>
      </c>
      <c r="D17" s="4" t="n">
        <v>0</v>
      </c>
      <c r="E17" s="4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>
        <f>-B10</f>
        <v/>
      </c>
      <c r="L17" s="17">
        <f>B11+K17</f>
        <v/>
      </c>
    </row>
    <row r="18">
      <c r="A18" s="4" t="n">
        <v>1</v>
      </c>
      <c r="B18" s="4">
        <f>E17</f>
        <v/>
      </c>
      <c r="C18" s="4">
        <f>$B$4</f>
        <v/>
      </c>
      <c r="D18" s="4">
        <f>B18*$B$7</f>
        <v/>
      </c>
      <c r="E18" s="17">
        <f>B18-D18+C18</f>
        <v/>
      </c>
      <c r="F18" s="17">
        <f>E18*$B$5</f>
        <v/>
      </c>
      <c r="G18" s="17">
        <f>E18*$B$6</f>
        <v/>
      </c>
      <c r="H18" s="17">
        <f>F18-G18</f>
        <v/>
      </c>
      <c r="I18" s="17">
        <f>C18*$B$8</f>
        <v/>
      </c>
      <c r="J18" s="17">
        <f>$B$9</f>
        <v/>
      </c>
      <c r="K18" s="17">
        <f>H18-I18-J18</f>
        <v/>
      </c>
      <c r="L18" s="17">
        <f>L17+K18</f>
        <v/>
      </c>
    </row>
    <row r="19">
      <c r="A19" s="4" t="n">
        <v>2</v>
      </c>
      <c r="B19" s="4">
        <f>E18</f>
        <v/>
      </c>
      <c r="C19" s="4">
        <f>$B$4</f>
        <v/>
      </c>
      <c r="D19" s="4">
        <f>B19*$B$7</f>
        <v/>
      </c>
      <c r="E19" s="17">
        <f>B19-D19+C19</f>
        <v/>
      </c>
      <c r="F19" s="17">
        <f>E19*$B$5</f>
        <v/>
      </c>
      <c r="G19" s="17">
        <f>E19*$B$6</f>
        <v/>
      </c>
      <c r="H19" s="17">
        <f>F19-G19</f>
        <v/>
      </c>
      <c r="I19" s="17">
        <f>C19*$B$8</f>
        <v/>
      </c>
      <c r="J19" s="17">
        <f>$B$9</f>
        <v/>
      </c>
      <c r="K19" s="17">
        <f>H19-I19-J19</f>
        <v/>
      </c>
      <c r="L19" s="17">
        <f>L18+K19</f>
        <v/>
      </c>
    </row>
    <row r="20">
      <c r="A20" s="4" t="n">
        <v>3</v>
      </c>
      <c r="B20" s="4">
        <f>E19</f>
        <v/>
      </c>
      <c r="C20" s="4">
        <f>$B$4</f>
        <v/>
      </c>
      <c r="D20" s="4">
        <f>B20*$B$7</f>
        <v/>
      </c>
      <c r="E20" s="17">
        <f>B20-D20+C20</f>
        <v/>
      </c>
      <c r="F20" s="17">
        <f>E20*$B$5</f>
        <v/>
      </c>
      <c r="G20" s="17">
        <f>E20*$B$6</f>
        <v/>
      </c>
      <c r="H20" s="17">
        <f>F20-G20</f>
        <v/>
      </c>
      <c r="I20" s="17">
        <f>C20*$B$8</f>
        <v/>
      </c>
      <c r="J20" s="17">
        <f>$B$9</f>
        <v/>
      </c>
      <c r="K20" s="17">
        <f>H20-I20-J20</f>
        <v/>
      </c>
      <c r="L20" s="17">
        <f>L19+K20</f>
        <v/>
      </c>
    </row>
    <row r="21">
      <c r="A21" s="4" t="n">
        <v>4</v>
      </c>
      <c r="B21" s="4">
        <f>E20</f>
        <v/>
      </c>
      <c r="C21" s="4">
        <f>$B$4</f>
        <v/>
      </c>
      <c r="D21" s="4">
        <f>B21*$B$7</f>
        <v/>
      </c>
      <c r="E21" s="17">
        <f>B21-D21+C21</f>
        <v/>
      </c>
      <c r="F21" s="17">
        <f>E21*$B$5</f>
        <v/>
      </c>
      <c r="G21" s="17">
        <f>E21*$B$6</f>
        <v/>
      </c>
      <c r="H21" s="17">
        <f>F21-G21</f>
        <v/>
      </c>
      <c r="I21" s="17">
        <f>C21*$B$8</f>
        <v/>
      </c>
      <c r="J21" s="17">
        <f>$B$9</f>
        <v/>
      </c>
      <c r="K21" s="17">
        <f>H21-I21-J21</f>
        <v/>
      </c>
      <c r="L21" s="17">
        <f>L20+K21</f>
        <v/>
      </c>
    </row>
    <row r="22">
      <c r="A22" s="4" t="n">
        <v>5</v>
      </c>
      <c r="B22" s="4">
        <f>E21</f>
        <v/>
      </c>
      <c r="C22" s="4">
        <f>$B$4</f>
        <v/>
      </c>
      <c r="D22" s="4">
        <f>B22*$B$7</f>
        <v/>
      </c>
      <c r="E22" s="17">
        <f>B22-D22+C22</f>
        <v/>
      </c>
      <c r="F22" s="17">
        <f>E22*$B$5</f>
        <v/>
      </c>
      <c r="G22" s="17">
        <f>E22*$B$6</f>
        <v/>
      </c>
      <c r="H22" s="17">
        <f>F22-G22</f>
        <v/>
      </c>
      <c r="I22" s="17">
        <f>C22*$B$8</f>
        <v/>
      </c>
      <c r="J22" s="17">
        <f>$B$9</f>
        <v/>
      </c>
      <c r="K22" s="17">
        <f>H22-I22-J22</f>
        <v/>
      </c>
      <c r="L22" s="17">
        <f>L21+K22</f>
        <v/>
      </c>
    </row>
    <row r="23">
      <c r="A23" s="4" t="n">
        <v>6</v>
      </c>
      <c r="B23" s="4">
        <f>E22</f>
        <v/>
      </c>
      <c r="C23" s="4">
        <f>$B$4</f>
        <v/>
      </c>
      <c r="D23" s="4">
        <f>B23*$B$7</f>
        <v/>
      </c>
      <c r="E23" s="17">
        <f>B23-D23+C23</f>
        <v/>
      </c>
      <c r="F23" s="17">
        <f>E23*$B$5</f>
        <v/>
      </c>
      <c r="G23" s="17">
        <f>E23*$B$6</f>
        <v/>
      </c>
      <c r="H23" s="17">
        <f>F23-G23</f>
        <v/>
      </c>
      <c r="I23" s="17">
        <f>C23*$B$8</f>
        <v/>
      </c>
      <c r="J23" s="17">
        <f>$B$9</f>
        <v/>
      </c>
      <c r="K23" s="17">
        <f>H23-I23-J23</f>
        <v/>
      </c>
      <c r="L23" s="17">
        <f>L22+K23</f>
        <v/>
      </c>
    </row>
    <row r="24">
      <c r="A24" s="4" t="n">
        <v>7</v>
      </c>
      <c r="B24" s="4">
        <f>E23</f>
        <v/>
      </c>
      <c r="C24" s="4">
        <f>$B$4</f>
        <v/>
      </c>
      <c r="D24" s="4">
        <f>B24*$B$7</f>
        <v/>
      </c>
      <c r="E24" s="17">
        <f>B24-D24+C24</f>
        <v/>
      </c>
      <c r="F24" s="17">
        <f>E24*$B$5</f>
        <v/>
      </c>
      <c r="G24" s="17">
        <f>E24*$B$6</f>
        <v/>
      </c>
      <c r="H24" s="17">
        <f>F24-G24</f>
        <v/>
      </c>
      <c r="I24" s="17">
        <f>C24*$B$8</f>
        <v/>
      </c>
      <c r="J24" s="17">
        <f>$B$9</f>
        <v/>
      </c>
      <c r="K24" s="17">
        <f>H24-I24-J24</f>
        <v/>
      </c>
      <c r="L24" s="17">
        <f>L23+K24</f>
        <v/>
      </c>
    </row>
    <row r="25">
      <c r="A25" s="4" t="n">
        <v>8</v>
      </c>
      <c r="B25" s="4">
        <f>E24</f>
        <v/>
      </c>
      <c r="C25" s="4">
        <f>$B$4</f>
        <v/>
      </c>
      <c r="D25" s="4">
        <f>B25*$B$7</f>
        <v/>
      </c>
      <c r="E25" s="17">
        <f>B25-D25+C25</f>
        <v/>
      </c>
      <c r="F25" s="17">
        <f>E25*$B$5</f>
        <v/>
      </c>
      <c r="G25" s="17">
        <f>E25*$B$6</f>
        <v/>
      </c>
      <c r="H25" s="17">
        <f>F25-G25</f>
        <v/>
      </c>
      <c r="I25" s="17">
        <f>C25*$B$8</f>
        <v/>
      </c>
      <c r="J25" s="17">
        <f>$B$9</f>
        <v/>
      </c>
      <c r="K25" s="17">
        <f>H25-I25-J25</f>
        <v/>
      </c>
      <c r="L25" s="17">
        <f>L24+K25</f>
        <v/>
      </c>
    </row>
    <row r="26">
      <c r="A26" s="4" t="n">
        <v>9</v>
      </c>
      <c r="B26" s="4">
        <f>E25</f>
        <v/>
      </c>
      <c r="C26" s="4">
        <f>$B$4</f>
        <v/>
      </c>
      <c r="D26" s="4">
        <f>B26*$B$7</f>
        <v/>
      </c>
      <c r="E26" s="17">
        <f>B26-D26+C26</f>
        <v/>
      </c>
      <c r="F26" s="17">
        <f>E26*$B$5</f>
        <v/>
      </c>
      <c r="G26" s="17">
        <f>E26*$B$6</f>
        <v/>
      </c>
      <c r="H26" s="17">
        <f>F26-G26</f>
        <v/>
      </c>
      <c r="I26" s="17">
        <f>C26*$B$8</f>
        <v/>
      </c>
      <c r="J26" s="17">
        <f>$B$9</f>
        <v/>
      </c>
      <c r="K26" s="17">
        <f>H26-I26-J26</f>
        <v/>
      </c>
      <c r="L26" s="17">
        <f>L25+K26</f>
        <v/>
      </c>
    </row>
    <row r="27">
      <c r="A27" s="4" t="n">
        <v>10</v>
      </c>
      <c r="B27" s="4">
        <f>E26</f>
        <v/>
      </c>
      <c r="C27" s="4">
        <f>$B$4</f>
        <v/>
      </c>
      <c r="D27" s="4">
        <f>B27*$B$7</f>
        <v/>
      </c>
      <c r="E27" s="17">
        <f>B27-D27+C27</f>
        <v/>
      </c>
      <c r="F27" s="17">
        <f>E27*$B$5</f>
        <v/>
      </c>
      <c r="G27" s="17">
        <f>E27*$B$6</f>
        <v/>
      </c>
      <c r="H27" s="17">
        <f>F27-G27</f>
        <v/>
      </c>
      <c r="I27" s="17">
        <f>C27*$B$8</f>
        <v/>
      </c>
      <c r="J27" s="17">
        <f>$B$9</f>
        <v/>
      </c>
      <c r="K27" s="17">
        <f>H27-I27-J27</f>
        <v/>
      </c>
      <c r="L27" s="17">
        <f>L26+K27</f>
        <v/>
      </c>
    </row>
    <row r="28">
      <c r="A28" s="4" t="n">
        <v>11</v>
      </c>
      <c r="B28" s="4">
        <f>E27</f>
        <v/>
      </c>
      <c r="C28" s="4">
        <f>$B$4</f>
        <v/>
      </c>
      <c r="D28" s="4">
        <f>B28*$B$7</f>
        <v/>
      </c>
      <c r="E28" s="17">
        <f>B28-D28+C28</f>
        <v/>
      </c>
      <c r="F28" s="17">
        <f>E28*$B$5</f>
        <v/>
      </c>
      <c r="G28" s="17">
        <f>E28*$B$6</f>
        <v/>
      </c>
      <c r="H28" s="17">
        <f>F28-G28</f>
        <v/>
      </c>
      <c r="I28" s="17">
        <f>C28*$B$8</f>
        <v/>
      </c>
      <c r="J28" s="17">
        <f>$B$9</f>
        <v/>
      </c>
      <c r="K28" s="17">
        <f>H28-I28-J28</f>
        <v/>
      </c>
      <c r="L28" s="17">
        <f>L27+K28</f>
        <v/>
      </c>
    </row>
    <row r="29">
      <c r="A29" s="4" t="n">
        <v>12</v>
      </c>
      <c r="B29" s="4">
        <f>E28</f>
        <v/>
      </c>
      <c r="C29" s="4">
        <f>$B$4</f>
        <v/>
      </c>
      <c r="D29" s="4">
        <f>B29*$B$7</f>
        <v/>
      </c>
      <c r="E29" s="17">
        <f>B29-D29+C29</f>
        <v/>
      </c>
      <c r="F29" s="17">
        <f>E29*$B$5</f>
        <v/>
      </c>
      <c r="G29" s="17">
        <f>E29*$B$6</f>
        <v/>
      </c>
      <c r="H29" s="17">
        <f>F29-G29</f>
        <v/>
      </c>
      <c r="I29" s="17">
        <f>C29*$B$8</f>
        <v/>
      </c>
      <c r="J29" s="17">
        <f>$B$9</f>
        <v/>
      </c>
      <c r="K29" s="17">
        <f>H29-I29-J29</f>
        <v/>
      </c>
      <c r="L29" s="17">
        <f>L28+K29</f>
        <v/>
      </c>
    </row>
    <row r="30">
      <c r="A30" s="4" t="n">
        <v>13</v>
      </c>
      <c r="B30" s="4">
        <f>E29</f>
        <v/>
      </c>
      <c r="C30" s="4">
        <f>$B$4</f>
        <v/>
      </c>
      <c r="D30" s="4">
        <f>B30*$B$7</f>
        <v/>
      </c>
      <c r="E30" s="17">
        <f>B30-D30+C30</f>
        <v/>
      </c>
      <c r="F30" s="17">
        <f>E30*$B$5</f>
        <v/>
      </c>
      <c r="G30" s="17">
        <f>E30*$B$6</f>
        <v/>
      </c>
      <c r="H30" s="17">
        <f>F30-G30</f>
        <v/>
      </c>
      <c r="I30" s="17">
        <f>C30*$B$8</f>
        <v/>
      </c>
      <c r="J30" s="17">
        <f>$B$9</f>
        <v/>
      </c>
      <c r="K30" s="17">
        <f>H30-I30-J30</f>
        <v/>
      </c>
      <c r="L30" s="17">
        <f>L29+K30</f>
        <v/>
      </c>
    </row>
    <row r="31">
      <c r="A31" s="4" t="n">
        <v>14</v>
      </c>
      <c r="B31" s="4">
        <f>E30</f>
        <v/>
      </c>
      <c r="C31" s="4">
        <f>$B$4</f>
        <v/>
      </c>
      <c r="D31" s="4">
        <f>B31*$B$7</f>
        <v/>
      </c>
      <c r="E31" s="17">
        <f>B31-D31+C31</f>
        <v/>
      </c>
      <c r="F31" s="17">
        <f>E31*$B$5</f>
        <v/>
      </c>
      <c r="G31" s="17">
        <f>E31*$B$6</f>
        <v/>
      </c>
      <c r="H31" s="17">
        <f>F31-G31</f>
        <v/>
      </c>
      <c r="I31" s="17">
        <f>C31*$B$8</f>
        <v/>
      </c>
      <c r="J31" s="17">
        <f>$B$9</f>
        <v/>
      </c>
      <c r="K31" s="17">
        <f>H31-I31-J31</f>
        <v/>
      </c>
      <c r="L31" s="17">
        <f>L30+K31</f>
        <v/>
      </c>
    </row>
    <row r="32">
      <c r="A32" s="4" t="n">
        <v>15</v>
      </c>
      <c r="B32" s="4">
        <f>E31</f>
        <v/>
      </c>
      <c r="C32" s="4">
        <f>$B$4</f>
        <v/>
      </c>
      <c r="D32" s="4">
        <f>B32*$B$7</f>
        <v/>
      </c>
      <c r="E32" s="17">
        <f>B32-D32+C32</f>
        <v/>
      </c>
      <c r="F32" s="17">
        <f>E32*$B$5</f>
        <v/>
      </c>
      <c r="G32" s="17">
        <f>E32*$B$6</f>
        <v/>
      </c>
      <c r="H32" s="17">
        <f>F32-G32</f>
        <v/>
      </c>
      <c r="I32" s="17">
        <f>C32*$B$8</f>
        <v/>
      </c>
      <c r="J32" s="17">
        <f>$B$9</f>
        <v/>
      </c>
      <c r="K32" s="17">
        <f>H32-I32-J32</f>
        <v/>
      </c>
      <c r="L32" s="17">
        <f>L31+K32</f>
        <v/>
      </c>
    </row>
    <row r="33">
      <c r="A33" s="4" t="n">
        <v>16</v>
      </c>
      <c r="B33" s="4">
        <f>E32</f>
        <v/>
      </c>
      <c r="C33" s="4">
        <f>$B$4</f>
        <v/>
      </c>
      <c r="D33" s="4">
        <f>B33*$B$7</f>
        <v/>
      </c>
      <c r="E33" s="17">
        <f>B33-D33+C33</f>
        <v/>
      </c>
      <c r="F33" s="17">
        <f>E33*$B$5</f>
        <v/>
      </c>
      <c r="G33" s="17">
        <f>E33*$B$6</f>
        <v/>
      </c>
      <c r="H33" s="17">
        <f>F33-G33</f>
        <v/>
      </c>
      <c r="I33" s="17">
        <f>C33*$B$8</f>
        <v/>
      </c>
      <c r="J33" s="17">
        <f>$B$9</f>
        <v/>
      </c>
      <c r="K33" s="17">
        <f>H33-I33-J33</f>
        <v/>
      </c>
      <c r="L33" s="17">
        <f>L32+K33</f>
        <v/>
      </c>
    </row>
    <row r="34">
      <c r="A34" s="4" t="n">
        <v>17</v>
      </c>
      <c r="B34" s="4">
        <f>E33</f>
        <v/>
      </c>
      <c r="C34" s="4">
        <f>$B$4</f>
        <v/>
      </c>
      <c r="D34" s="4">
        <f>B34*$B$7</f>
        <v/>
      </c>
      <c r="E34" s="17">
        <f>B34-D34+C34</f>
        <v/>
      </c>
      <c r="F34" s="17">
        <f>E34*$B$5</f>
        <v/>
      </c>
      <c r="G34" s="17">
        <f>E34*$B$6</f>
        <v/>
      </c>
      <c r="H34" s="17">
        <f>F34-G34</f>
        <v/>
      </c>
      <c r="I34" s="17">
        <f>C34*$B$8</f>
        <v/>
      </c>
      <c r="J34" s="17">
        <f>$B$9</f>
        <v/>
      </c>
      <c r="K34" s="17">
        <f>H34-I34-J34</f>
        <v/>
      </c>
      <c r="L34" s="17">
        <f>L33+K34</f>
        <v/>
      </c>
    </row>
    <row r="35">
      <c r="A35" s="4" t="n">
        <v>18</v>
      </c>
      <c r="B35" s="4">
        <f>E34</f>
        <v/>
      </c>
      <c r="C35" s="4">
        <f>$B$4</f>
        <v/>
      </c>
      <c r="D35" s="4">
        <f>B35*$B$7</f>
        <v/>
      </c>
      <c r="E35" s="17">
        <f>B35-D35+C35</f>
        <v/>
      </c>
      <c r="F35" s="17">
        <f>E35*$B$5</f>
        <v/>
      </c>
      <c r="G35" s="17">
        <f>E35*$B$6</f>
        <v/>
      </c>
      <c r="H35" s="17">
        <f>F35-G35</f>
        <v/>
      </c>
      <c r="I35" s="17">
        <f>C35*$B$8</f>
        <v/>
      </c>
      <c r="J35" s="17">
        <f>$B$9</f>
        <v/>
      </c>
      <c r="K35" s="17">
        <f>H35-I35-J35</f>
        <v/>
      </c>
      <c r="L35" s="17">
        <f>L34+K35</f>
        <v/>
      </c>
    </row>
    <row r="36">
      <c r="A36" s="4" t="n">
        <v>19</v>
      </c>
      <c r="B36" s="4">
        <f>E35</f>
        <v/>
      </c>
      <c r="C36" s="4">
        <f>$B$4</f>
        <v/>
      </c>
      <c r="D36" s="4">
        <f>B36*$B$7</f>
        <v/>
      </c>
      <c r="E36" s="17">
        <f>B36-D36+C36</f>
        <v/>
      </c>
      <c r="F36" s="17">
        <f>E36*$B$5</f>
        <v/>
      </c>
      <c r="G36" s="17">
        <f>E36*$B$6</f>
        <v/>
      </c>
      <c r="H36" s="17">
        <f>F36-G36</f>
        <v/>
      </c>
      <c r="I36" s="17">
        <f>C36*$B$8</f>
        <v/>
      </c>
      <c r="J36" s="17">
        <f>$B$9</f>
        <v/>
      </c>
      <c r="K36" s="17">
        <f>H36-I36-J36</f>
        <v/>
      </c>
      <c r="L36" s="17">
        <f>L35+K36</f>
        <v/>
      </c>
    </row>
    <row r="37">
      <c r="A37" s="4" t="n">
        <v>20</v>
      </c>
      <c r="B37" s="4">
        <f>E36</f>
        <v/>
      </c>
      <c r="C37" s="4">
        <f>$B$4</f>
        <v/>
      </c>
      <c r="D37" s="4">
        <f>B37*$B$7</f>
        <v/>
      </c>
      <c r="E37" s="17">
        <f>B37-D37+C37</f>
        <v/>
      </c>
      <c r="F37" s="17">
        <f>E37*$B$5</f>
        <v/>
      </c>
      <c r="G37" s="17">
        <f>E37*$B$6</f>
        <v/>
      </c>
      <c r="H37" s="17">
        <f>F37-G37</f>
        <v/>
      </c>
      <c r="I37" s="17">
        <f>C37*$B$8</f>
        <v/>
      </c>
      <c r="J37" s="17">
        <f>$B$9</f>
        <v/>
      </c>
      <c r="K37" s="17">
        <f>H37-I37-J37</f>
        <v/>
      </c>
      <c r="L37" s="17">
        <f>L36+K37</f>
        <v/>
      </c>
    </row>
    <row r="38">
      <c r="A38" s="4" t="n">
        <v>21</v>
      </c>
      <c r="B38" s="4">
        <f>E37</f>
        <v/>
      </c>
      <c r="C38" s="4">
        <f>$B$4</f>
        <v/>
      </c>
      <c r="D38" s="4">
        <f>B38*$B$7</f>
        <v/>
      </c>
      <c r="E38" s="17">
        <f>B38-D38+C38</f>
        <v/>
      </c>
      <c r="F38" s="17">
        <f>E38*$B$5</f>
        <v/>
      </c>
      <c r="G38" s="17">
        <f>E38*$B$6</f>
        <v/>
      </c>
      <c r="H38" s="17">
        <f>F38-G38</f>
        <v/>
      </c>
      <c r="I38" s="17">
        <f>C38*$B$8</f>
        <v/>
      </c>
      <c r="J38" s="17">
        <f>$B$9</f>
        <v/>
      </c>
      <c r="K38" s="17">
        <f>H38-I38-J38</f>
        <v/>
      </c>
      <c r="L38" s="17">
        <f>L37+K38</f>
        <v/>
      </c>
    </row>
    <row r="39">
      <c r="A39" s="4" t="n">
        <v>22</v>
      </c>
      <c r="B39" s="4">
        <f>E38</f>
        <v/>
      </c>
      <c r="C39" s="4">
        <f>$B$4</f>
        <v/>
      </c>
      <c r="D39" s="4">
        <f>B39*$B$7</f>
        <v/>
      </c>
      <c r="E39" s="17">
        <f>B39-D39+C39</f>
        <v/>
      </c>
      <c r="F39" s="17">
        <f>E39*$B$5</f>
        <v/>
      </c>
      <c r="G39" s="17">
        <f>E39*$B$6</f>
        <v/>
      </c>
      <c r="H39" s="17">
        <f>F39-G39</f>
        <v/>
      </c>
      <c r="I39" s="17">
        <f>C39*$B$8</f>
        <v/>
      </c>
      <c r="J39" s="17">
        <f>$B$9</f>
        <v/>
      </c>
      <c r="K39" s="17">
        <f>H39-I39-J39</f>
        <v/>
      </c>
      <c r="L39" s="17">
        <f>L38+K39</f>
        <v/>
      </c>
    </row>
    <row r="40">
      <c r="A40" s="4" t="n">
        <v>23</v>
      </c>
      <c r="B40" s="4">
        <f>E39</f>
        <v/>
      </c>
      <c r="C40" s="4">
        <f>$B$4</f>
        <v/>
      </c>
      <c r="D40" s="4">
        <f>B40*$B$7</f>
        <v/>
      </c>
      <c r="E40" s="17">
        <f>B40-D40+C40</f>
        <v/>
      </c>
      <c r="F40" s="17">
        <f>E40*$B$5</f>
        <v/>
      </c>
      <c r="G40" s="17">
        <f>E40*$B$6</f>
        <v/>
      </c>
      <c r="H40" s="17">
        <f>F40-G40</f>
        <v/>
      </c>
      <c r="I40" s="17">
        <f>C40*$B$8</f>
        <v/>
      </c>
      <c r="J40" s="17">
        <f>$B$9</f>
        <v/>
      </c>
      <c r="K40" s="17">
        <f>H40-I40-J40</f>
        <v/>
      </c>
      <c r="L40" s="17">
        <f>L39+K40</f>
        <v/>
      </c>
    </row>
    <row r="41">
      <c r="A41" s="4" t="n">
        <v>24</v>
      </c>
      <c r="B41" s="4">
        <f>E40</f>
        <v/>
      </c>
      <c r="C41" s="4">
        <f>$B$4</f>
        <v/>
      </c>
      <c r="D41" s="4">
        <f>B41*$B$7</f>
        <v/>
      </c>
      <c r="E41" s="17">
        <f>B41-D41+C41</f>
        <v/>
      </c>
      <c r="F41" s="17">
        <f>E41*$B$5</f>
        <v/>
      </c>
      <c r="G41" s="17">
        <f>E41*$B$6</f>
        <v/>
      </c>
      <c r="H41" s="17">
        <f>F41-G41</f>
        <v/>
      </c>
      <c r="I41" s="17">
        <f>C41*$B$8</f>
        <v/>
      </c>
      <c r="J41" s="17">
        <f>$B$9</f>
        <v/>
      </c>
      <c r="K41" s="17">
        <f>H41-I41-J41</f>
        <v/>
      </c>
      <c r="L41" s="17">
        <f>L40+K41</f>
        <v/>
      </c>
    </row>
    <row r="42">
      <c r="A42" s="4" t="n">
        <v>25</v>
      </c>
      <c r="B42" s="4">
        <f>E41</f>
        <v/>
      </c>
      <c r="C42" s="4">
        <f>$B$4</f>
        <v/>
      </c>
      <c r="D42" s="4">
        <f>B42*$B$7</f>
        <v/>
      </c>
      <c r="E42" s="17">
        <f>B42-D42+C42</f>
        <v/>
      </c>
      <c r="F42" s="17">
        <f>E42*$B$5</f>
        <v/>
      </c>
      <c r="G42" s="17">
        <f>E42*$B$6</f>
        <v/>
      </c>
      <c r="H42" s="17">
        <f>F42-G42</f>
        <v/>
      </c>
      <c r="I42" s="17">
        <f>C42*$B$8</f>
        <v/>
      </c>
      <c r="J42" s="17">
        <f>$B$9</f>
        <v/>
      </c>
      <c r="K42" s="17">
        <f>H42-I42-J42</f>
        <v/>
      </c>
      <c r="L42" s="17">
        <f>L41+K42</f>
        <v/>
      </c>
    </row>
    <row r="43">
      <c r="A43" s="4" t="n">
        <v>26</v>
      </c>
      <c r="B43" s="4">
        <f>E42</f>
        <v/>
      </c>
      <c r="C43" s="4">
        <f>$B$4</f>
        <v/>
      </c>
      <c r="D43" s="4">
        <f>B43*$B$7</f>
        <v/>
      </c>
      <c r="E43" s="17">
        <f>B43-D43+C43</f>
        <v/>
      </c>
      <c r="F43" s="17">
        <f>E43*$B$5</f>
        <v/>
      </c>
      <c r="G43" s="17">
        <f>E43*$B$6</f>
        <v/>
      </c>
      <c r="H43" s="17">
        <f>F43-G43</f>
        <v/>
      </c>
      <c r="I43" s="17">
        <f>C43*$B$8</f>
        <v/>
      </c>
      <c r="J43" s="17">
        <f>$B$9</f>
        <v/>
      </c>
      <c r="K43" s="17">
        <f>H43-I43-J43</f>
        <v/>
      </c>
      <c r="L43" s="17">
        <f>L42+K43</f>
        <v/>
      </c>
    </row>
    <row r="44">
      <c r="A44" s="4" t="n">
        <v>27</v>
      </c>
      <c r="B44" s="4">
        <f>E43</f>
        <v/>
      </c>
      <c r="C44" s="4">
        <f>$B$4</f>
        <v/>
      </c>
      <c r="D44" s="4">
        <f>B44*$B$7</f>
        <v/>
      </c>
      <c r="E44" s="17">
        <f>B44-D44+C44</f>
        <v/>
      </c>
      <c r="F44" s="17">
        <f>E44*$B$5</f>
        <v/>
      </c>
      <c r="G44" s="17">
        <f>E44*$B$6</f>
        <v/>
      </c>
      <c r="H44" s="17">
        <f>F44-G44</f>
        <v/>
      </c>
      <c r="I44" s="17">
        <f>C44*$B$8</f>
        <v/>
      </c>
      <c r="J44" s="17">
        <f>$B$9</f>
        <v/>
      </c>
      <c r="K44" s="17">
        <f>H44-I44-J44</f>
        <v/>
      </c>
      <c r="L44" s="17">
        <f>L43+K44</f>
        <v/>
      </c>
    </row>
    <row r="45">
      <c r="A45" s="4" t="n">
        <v>28</v>
      </c>
      <c r="B45" s="4">
        <f>E44</f>
        <v/>
      </c>
      <c r="C45" s="4">
        <f>$B$4</f>
        <v/>
      </c>
      <c r="D45" s="4">
        <f>B45*$B$7</f>
        <v/>
      </c>
      <c r="E45" s="17">
        <f>B45-D45+C45</f>
        <v/>
      </c>
      <c r="F45" s="17">
        <f>E45*$B$5</f>
        <v/>
      </c>
      <c r="G45" s="17">
        <f>E45*$B$6</f>
        <v/>
      </c>
      <c r="H45" s="17">
        <f>F45-G45</f>
        <v/>
      </c>
      <c r="I45" s="17">
        <f>C45*$B$8</f>
        <v/>
      </c>
      <c r="J45" s="17">
        <f>$B$9</f>
        <v/>
      </c>
      <c r="K45" s="17">
        <f>H45-I45-J45</f>
        <v/>
      </c>
      <c r="L45" s="17">
        <f>L44+K45</f>
        <v/>
      </c>
    </row>
    <row r="46">
      <c r="A46" s="4" t="n">
        <v>29</v>
      </c>
      <c r="B46" s="4">
        <f>E45</f>
        <v/>
      </c>
      <c r="C46" s="4">
        <f>$B$4</f>
        <v/>
      </c>
      <c r="D46" s="4">
        <f>B46*$B$7</f>
        <v/>
      </c>
      <c r="E46" s="17">
        <f>B46-D46+C46</f>
        <v/>
      </c>
      <c r="F46" s="17">
        <f>E46*$B$5</f>
        <v/>
      </c>
      <c r="G46" s="17">
        <f>E46*$B$6</f>
        <v/>
      </c>
      <c r="H46" s="17">
        <f>F46-G46</f>
        <v/>
      </c>
      <c r="I46" s="17">
        <f>C46*$B$8</f>
        <v/>
      </c>
      <c r="J46" s="17">
        <f>$B$9</f>
        <v/>
      </c>
      <c r="K46" s="17">
        <f>H46-I46-J46</f>
        <v/>
      </c>
      <c r="L46" s="17">
        <f>L45+K46</f>
        <v/>
      </c>
    </row>
    <row r="47">
      <c r="A47" s="4" t="n">
        <v>30</v>
      </c>
      <c r="B47" s="4">
        <f>E46</f>
        <v/>
      </c>
      <c r="C47" s="4">
        <f>$B$4</f>
        <v/>
      </c>
      <c r="D47" s="4">
        <f>B47*$B$7</f>
        <v/>
      </c>
      <c r="E47" s="17">
        <f>B47-D47+C47</f>
        <v/>
      </c>
      <c r="F47" s="17">
        <f>E47*$B$5</f>
        <v/>
      </c>
      <c r="G47" s="17">
        <f>E47*$B$6</f>
        <v/>
      </c>
      <c r="H47" s="17">
        <f>F47-G47</f>
        <v/>
      </c>
      <c r="I47" s="17">
        <f>C47*$B$8</f>
        <v/>
      </c>
      <c r="J47" s="17">
        <f>$B$9</f>
        <v/>
      </c>
      <c r="K47" s="17">
        <f>H47-I47-J47</f>
        <v/>
      </c>
      <c r="L47" s="17">
        <f>L46+K47</f>
        <v/>
      </c>
    </row>
    <row r="48">
      <c r="A48" s="4" t="n">
        <v>31</v>
      </c>
      <c r="B48" s="4">
        <f>E47</f>
        <v/>
      </c>
      <c r="C48" s="4">
        <f>$B$4</f>
        <v/>
      </c>
      <c r="D48" s="4">
        <f>B48*$B$7</f>
        <v/>
      </c>
      <c r="E48" s="17">
        <f>B48-D48+C48</f>
        <v/>
      </c>
      <c r="F48" s="17">
        <f>E48*$B$5</f>
        <v/>
      </c>
      <c r="G48" s="17">
        <f>E48*$B$6</f>
        <v/>
      </c>
      <c r="H48" s="17">
        <f>F48-G48</f>
        <v/>
      </c>
      <c r="I48" s="17">
        <f>C48*$B$8</f>
        <v/>
      </c>
      <c r="J48" s="17">
        <f>$B$9</f>
        <v/>
      </c>
      <c r="K48" s="17">
        <f>H48-I48-J48</f>
        <v/>
      </c>
      <c r="L48" s="17">
        <f>L47+K48</f>
        <v/>
      </c>
    </row>
    <row r="49">
      <c r="A49" s="4" t="n">
        <v>32</v>
      </c>
      <c r="B49" s="4">
        <f>E48</f>
        <v/>
      </c>
      <c r="C49" s="4">
        <f>$B$4</f>
        <v/>
      </c>
      <c r="D49" s="4">
        <f>B49*$B$7</f>
        <v/>
      </c>
      <c r="E49" s="17">
        <f>B49-D49+C49</f>
        <v/>
      </c>
      <c r="F49" s="17">
        <f>E49*$B$5</f>
        <v/>
      </c>
      <c r="G49" s="17">
        <f>E49*$B$6</f>
        <v/>
      </c>
      <c r="H49" s="17">
        <f>F49-G49</f>
        <v/>
      </c>
      <c r="I49" s="17">
        <f>C49*$B$8</f>
        <v/>
      </c>
      <c r="J49" s="17">
        <f>$B$9</f>
        <v/>
      </c>
      <c r="K49" s="17">
        <f>H49-I49-J49</f>
        <v/>
      </c>
      <c r="L49" s="17">
        <f>L48+K49</f>
        <v/>
      </c>
    </row>
    <row r="50">
      <c r="A50" s="4" t="n">
        <v>33</v>
      </c>
      <c r="B50" s="4">
        <f>E49</f>
        <v/>
      </c>
      <c r="C50" s="4">
        <f>$B$4</f>
        <v/>
      </c>
      <c r="D50" s="4">
        <f>B50*$B$7</f>
        <v/>
      </c>
      <c r="E50" s="17">
        <f>B50-D50+C50</f>
        <v/>
      </c>
      <c r="F50" s="17">
        <f>E50*$B$5</f>
        <v/>
      </c>
      <c r="G50" s="17">
        <f>E50*$B$6</f>
        <v/>
      </c>
      <c r="H50" s="17">
        <f>F50-G50</f>
        <v/>
      </c>
      <c r="I50" s="17">
        <f>C50*$B$8</f>
        <v/>
      </c>
      <c r="J50" s="17">
        <f>$B$9</f>
        <v/>
      </c>
      <c r="K50" s="17">
        <f>H50-I50-J50</f>
        <v/>
      </c>
      <c r="L50" s="17">
        <f>L49+K50</f>
        <v/>
      </c>
    </row>
    <row r="51">
      <c r="A51" s="4" t="n">
        <v>34</v>
      </c>
      <c r="B51" s="4">
        <f>E50</f>
        <v/>
      </c>
      <c r="C51" s="4">
        <f>$B$4</f>
        <v/>
      </c>
      <c r="D51" s="4">
        <f>B51*$B$7</f>
        <v/>
      </c>
      <c r="E51" s="17">
        <f>B51-D51+C51</f>
        <v/>
      </c>
      <c r="F51" s="17">
        <f>E51*$B$5</f>
        <v/>
      </c>
      <c r="G51" s="17">
        <f>E51*$B$6</f>
        <v/>
      </c>
      <c r="H51" s="17">
        <f>F51-G51</f>
        <v/>
      </c>
      <c r="I51" s="17">
        <f>C51*$B$8</f>
        <v/>
      </c>
      <c r="J51" s="17">
        <f>$B$9</f>
        <v/>
      </c>
      <c r="K51" s="17">
        <f>H51-I51-J51</f>
        <v/>
      </c>
      <c r="L51" s="17">
        <f>L50+K51</f>
        <v/>
      </c>
    </row>
    <row r="52">
      <c r="A52" s="4" t="n">
        <v>35</v>
      </c>
      <c r="B52" s="4">
        <f>E51</f>
        <v/>
      </c>
      <c r="C52" s="4">
        <f>$B$4</f>
        <v/>
      </c>
      <c r="D52" s="4">
        <f>B52*$B$7</f>
        <v/>
      </c>
      <c r="E52" s="17">
        <f>B52-D52+C52</f>
        <v/>
      </c>
      <c r="F52" s="17">
        <f>E52*$B$5</f>
        <v/>
      </c>
      <c r="G52" s="17">
        <f>E52*$B$6</f>
        <v/>
      </c>
      <c r="H52" s="17">
        <f>F52-G52</f>
        <v/>
      </c>
      <c r="I52" s="17">
        <f>C52*$B$8</f>
        <v/>
      </c>
      <c r="J52" s="17">
        <f>$B$9</f>
        <v/>
      </c>
      <c r="K52" s="17">
        <f>H52-I52-J52</f>
        <v/>
      </c>
      <c r="L52" s="17">
        <f>L51+K52</f>
        <v/>
      </c>
    </row>
    <row r="53">
      <c r="A53" s="4" t="n">
        <v>36</v>
      </c>
      <c r="B53" s="4">
        <f>E52</f>
        <v/>
      </c>
      <c r="C53" s="4">
        <f>$B$4</f>
        <v/>
      </c>
      <c r="D53" s="4">
        <f>B53*$B$7</f>
        <v/>
      </c>
      <c r="E53" s="17">
        <f>B53-D53+C53</f>
        <v/>
      </c>
      <c r="F53" s="17">
        <f>E53*$B$5</f>
        <v/>
      </c>
      <c r="G53" s="17">
        <f>E53*$B$6</f>
        <v/>
      </c>
      <c r="H53" s="17">
        <f>F53-G53</f>
        <v/>
      </c>
      <c r="I53" s="17">
        <f>C53*$B$8</f>
        <v/>
      </c>
      <c r="J53" s="17">
        <f>$B$9</f>
        <v/>
      </c>
      <c r="K53" s="17">
        <f>H53-I53-J53</f>
        <v/>
      </c>
      <c r="L53" s="17">
        <f>L52+K53</f>
        <v/>
      </c>
    </row>
    <row r="56">
      <c r="A56" s="2" t="inlineStr">
        <is>
          <t>KEY PERFORMANCE INDICATORS</t>
        </is>
      </c>
    </row>
    <row r="57">
      <c r="A57" s="13" t="inlineStr">
        <is>
          <t>Break-even Month (Net CF &gt; 0 dau tien)</t>
        </is>
      </c>
      <c r="B57" s="15">
        <f t="array" ref="B57">IFERROR(INDEX(A18:A53,MATCH(TRUE,K18:K53&gt;0,0)),"N/A")</f>
        <v/>
      </c>
    </row>
    <row r="58">
      <c r="A58" s="13" t="inlineStr">
        <is>
          <t>NPV 36 thang (Trieu VND)</t>
        </is>
      </c>
      <c r="B58" s="18">
        <f>IFERROR(K17+NPV(B13,K18:K53),0)</f>
        <v/>
      </c>
    </row>
    <row r="59">
      <c r="A59" s="13" t="inlineStr">
        <is>
          <t>IRR Monthly %</t>
        </is>
      </c>
      <c r="B59" s="15">
        <f>IFERROR(IRR(K17:K53)*100,0)</f>
        <v/>
      </c>
    </row>
    <row r="60">
      <c r="A60" s="13" t="inlineStr">
        <is>
          <t>IRR Annualized %</t>
        </is>
      </c>
      <c r="B60" s="15">
        <f>IFERROR(((1+B59/100)^12-1)*100,0)</f>
        <v/>
      </c>
    </row>
    <row r="61">
      <c r="A61" s="13" t="inlineStr">
        <is>
          <t>Project Payback (thang, Cash ve muc Initial Cash)</t>
        </is>
      </c>
      <c r="B61" s="15">
        <f t="array" ref="B61">IFERROR(INDEX(A17:A53,MATCH(TRUE,L17:L53&gt;=B11,0)),"N/A")</f>
        <v/>
      </c>
    </row>
    <row r="62">
      <c r="A62" s="13" t="inlineStr">
        <is>
          <t>Min Cash Position (Month 0-12)</t>
        </is>
      </c>
      <c r="B62" s="18">
        <f>MIN(L17:L29)</f>
        <v/>
      </c>
    </row>
    <row r="63">
      <c r="A63" s="13" t="inlineStr">
        <is>
          <t>Cash Position tai Month 12</t>
        </is>
      </c>
      <c r="B63" s="18">
        <f>L29</f>
        <v/>
      </c>
    </row>
    <row r="64">
      <c r="A64" s="13" t="inlineStr">
        <is>
          <t>Runway (thang dau tien Cash &lt; 0, hoac 36 neu khong am)</t>
        </is>
      </c>
      <c r="B64" s="15">
        <f t="array" ref="B64">IFERROR(INDEX(A17:A53,MATCH(TRUE,L17:L53&lt;0,0)),36)</f>
        <v/>
      </c>
    </row>
  </sheetData>
  <conditionalFormatting sqref="K17:K53">
    <cfRule type="cellIs" priority="1" operator="lessThan" dxfId="1">
      <formula>0</formula>
    </cfRule>
  </conditionalFormatting>
  <conditionalFormatting sqref="L17:L53">
    <cfRule type="cellIs" priority="2" operator="lessThan" dxfId="1">
      <formula>0</formula>
    </cfRule>
  </conditionalFormatting>
  <dataValidations count="1">
    <dataValidation sqref="B1" showDropDown="0" showInputMessage="0" showErrorMessage="0" allowBlank="0" error="Please select Optimistic, Base, or Pessimistic" type="list">
      <formula1>"Optimistic,Base,Pessimistic"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2026-08-26T09:53:19Z</dcterms:created>
  <dcterms:modified xmlns:dcterms="http://purl.org/dc/terms/" xmlns:xsi="http://www.w3.org/2001/XMLSchema-instance" xsi:type="dcterms:W3CDTF">2026-08-26T09:53:19Z</dcterms:modified>
</cp:coreProperties>
</file>